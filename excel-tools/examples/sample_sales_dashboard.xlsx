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Product</t>
        </is>
      </c>
      <c r="B1" s="1" t="inlineStr">
        <is>
          <t>Q1 Units</t>
        </is>
      </c>
      <c r="C1" s="1" t="inlineStr">
        <is>
          <t>Q2 Units</t>
        </is>
      </c>
      <c r="D1" s="1" t="inlineStr">
        <is>
          <t>Q3 Units</t>
        </is>
      </c>
      <c r="E1" s="1" t="inlineStr">
        <is>
          <t>Q4 Units</t>
        </is>
      </c>
      <c r="F1" s="1" t="inlineStr">
        <is>
          <t>Total Units</t>
        </is>
      </c>
      <c r="G1" s="1" t="inlineStr">
        <is>
          <t>Unit Price</t>
        </is>
      </c>
      <c r="H1" s="1" t="inlineStr">
        <is>
          <t>Revenue</t>
        </is>
      </c>
      <c r="I1" s="1" t="inlineStr">
        <is>
          <t>Cost per Unit</t>
        </is>
      </c>
      <c r="J1" s="1" t="inlineStr">
        <is>
          <t>Profit</t>
        </is>
      </c>
    </row>
    <row r="2">
      <c r="A2" t="inlineStr">
        <is>
          <t>Widget A</t>
        </is>
      </c>
      <c r="B2" t="n">
        <v>120</v>
      </c>
      <c r="C2" t="n">
        <v>150</v>
      </c>
      <c r="D2" t="n">
        <v>180</v>
      </c>
      <c r="E2" t="n">
        <v>200</v>
      </c>
      <c r="F2">
        <f>SUM(B2:E2)</f>
        <v/>
      </c>
      <c r="G2" s="2" t="n">
        <v>24.99</v>
      </c>
      <c r="H2" s="2">
        <f>F2*G2</f>
        <v/>
      </c>
      <c r="I2" s="2" t="n">
        <v>12.5</v>
      </c>
      <c r="J2" s="2">
        <f>H2-(F2*I2)</f>
        <v/>
      </c>
    </row>
    <row r="3">
      <c r="A3" t="inlineStr">
        <is>
          <t>Widget B</t>
        </is>
      </c>
      <c r="B3" t="n">
        <v>80</v>
      </c>
      <c r="C3" t="n">
        <v>90</v>
      </c>
      <c r="D3" t="n">
        <v>110</v>
      </c>
      <c r="E3" t="n">
        <v>130</v>
      </c>
      <c r="F3">
        <f>SUM(B3:E3)</f>
        <v/>
      </c>
      <c r="G3" s="2" t="n">
        <v>49.99</v>
      </c>
      <c r="H3" s="2">
        <f>F3*G3</f>
        <v/>
      </c>
      <c r="I3" s="2" t="n">
        <v>22</v>
      </c>
      <c r="J3" s="2">
        <f>H3-(F3*I3)</f>
        <v/>
      </c>
    </row>
    <row r="4">
      <c r="A4" t="inlineStr">
        <is>
          <t>Gadget X</t>
        </is>
      </c>
      <c r="B4" t="n">
        <v>200</v>
      </c>
      <c r="C4" t="n">
        <v>220</v>
      </c>
      <c r="D4" t="n">
        <v>250</v>
      </c>
      <c r="E4" t="n">
        <v>280</v>
      </c>
      <c r="F4">
        <f>SUM(B4:E4)</f>
        <v/>
      </c>
      <c r="G4" s="2" t="n">
        <v>14.99</v>
      </c>
      <c r="H4" s="2">
        <f>F4*G4</f>
        <v/>
      </c>
      <c r="I4" s="2" t="n">
        <v>7.25</v>
      </c>
      <c r="J4" s="2">
        <f>H4-(F4*I4)</f>
        <v/>
      </c>
    </row>
    <row r="5">
      <c r="A5" t="inlineStr">
        <is>
          <t>Gadget Y</t>
        </is>
      </c>
      <c r="B5" t="n">
        <v>50</v>
      </c>
      <c r="C5" t="n">
        <v>65</v>
      </c>
      <c r="D5" t="n">
        <v>70</v>
      </c>
      <c r="E5" t="n">
        <v>85</v>
      </c>
      <c r="F5">
        <f>SUM(B5:E5)</f>
        <v/>
      </c>
      <c r="G5" s="2" t="n">
        <v>99.98999999999999</v>
      </c>
      <c r="H5" s="2">
        <f>F5*G5</f>
        <v/>
      </c>
      <c r="I5" s="2" t="n">
        <v>45</v>
      </c>
      <c r="J5" s="2">
        <f>H5-(F5*I5)</f>
        <v/>
      </c>
    </row>
    <row r="6">
      <c r="A6" t="inlineStr">
        <is>
          <t>Premium Z</t>
        </is>
      </c>
      <c r="B6" t="n">
        <v>30</v>
      </c>
      <c r="C6" t="n">
        <v>35</v>
      </c>
      <c r="D6" t="n">
        <v>40</v>
      </c>
      <c r="E6" t="n">
        <v>50</v>
      </c>
      <c r="F6">
        <f>SUM(B6:E6)</f>
        <v/>
      </c>
      <c r="G6" s="2" t="n">
        <v>199.99</v>
      </c>
      <c r="H6" s="2">
        <f>F6*G6</f>
        <v/>
      </c>
      <c r="I6" s="2" t="n">
        <v>85</v>
      </c>
      <c r="J6" s="2">
        <f>H6-(F6*I6)</f>
        <v/>
      </c>
    </row>
    <row r="8">
      <c r="A8" s="3" t="inlineStr">
        <is>
          <t>TOTALS</t>
        </is>
      </c>
      <c r="B8">
        <f>SUM(B2:B6)</f>
        <v/>
      </c>
      <c r="C8">
        <f>SUM(C2:C6)</f>
        <v/>
      </c>
      <c r="D8">
        <f>SUM(D2:D6)</f>
        <v/>
      </c>
      <c r="E8">
        <f>SUM(E2:E6)</f>
        <v/>
      </c>
      <c r="F8">
        <f>SUM(F2:F6)</f>
        <v/>
      </c>
      <c r="H8" s="2">
        <f>SUM(H2:H6)</f>
        <v/>
      </c>
      <c r="J8" s="2">
        <f>SUM(J2:J6)</f>
        <v/>
      </c>
    </row>
    <row r="10">
      <c r="A10" s="3" t="inlineStr">
        <is>
          <t>Profit Margin</t>
        </is>
      </c>
      <c r="B10" s="4">
        <f>J8/H8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  <c r="I1" s="1" t="inlineStr">
        <is>
          <t>Monthly Avg</t>
        </is>
      </c>
      <c r="J1" s="1" t="inlineStr">
        <is>
          <t>% of Grand Total</t>
        </is>
      </c>
    </row>
    <row r="2">
      <c r="A2" t="inlineStr">
        <is>
          <t>Rent</t>
        </is>
      </c>
      <c r="B2" s="5" t="n">
        <v>2500</v>
      </c>
      <c r="C2" s="5" t="n">
        <v>2500</v>
      </c>
      <c r="D2" s="5" t="n">
        <v>2500</v>
      </c>
      <c r="E2" s="5" t="n">
        <v>2500</v>
      </c>
      <c r="F2" s="5" t="n">
        <v>2500</v>
      </c>
      <c r="G2" s="5" t="n">
        <v>2500</v>
      </c>
      <c r="H2" s="5">
        <f>SUM(B2:G2)</f>
        <v/>
      </c>
      <c r="I2" s="2">
        <f>H2/6</f>
        <v/>
      </c>
      <c r="J2" s="4">
        <f>H2/H8</f>
        <v/>
      </c>
    </row>
    <row r="3">
      <c r="A3" t="inlineStr">
        <is>
          <t>Salaries</t>
        </is>
      </c>
      <c r="B3" s="5" t="n">
        <v>8000</v>
      </c>
      <c r="C3" s="5" t="n">
        <v>8000</v>
      </c>
      <c r="D3" s="5" t="n">
        <v>8200</v>
      </c>
      <c r="E3" s="5" t="n">
        <v>8200</v>
      </c>
      <c r="F3" s="5" t="n">
        <v>8500</v>
      </c>
      <c r="G3" s="5" t="n">
        <v>8500</v>
      </c>
      <c r="H3" s="5">
        <f>SUM(B3:G3)</f>
        <v/>
      </c>
      <c r="I3" s="2">
        <f>H3/6</f>
        <v/>
      </c>
      <c r="J3" s="4">
        <f>H3/H8</f>
        <v/>
      </c>
    </row>
    <row r="4">
      <c r="A4" t="inlineStr">
        <is>
          <t>Marketing</t>
        </is>
      </c>
      <c r="B4" s="5" t="n">
        <v>1200</v>
      </c>
      <c r="C4" s="5" t="n">
        <v>1500</v>
      </c>
      <c r="D4" s="5" t="n">
        <v>1800</v>
      </c>
      <c r="E4" s="5" t="n">
        <v>2000</v>
      </c>
      <c r="F4" s="5" t="n">
        <v>1700</v>
      </c>
      <c r="G4" s="5" t="n">
        <v>1400</v>
      </c>
      <c r="H4" s="5">
        <f>SUM(B4:G4)</f>
        <v/>
      </c>
      <c r="I4" s="2">
        <f>H4/6</f>
        <v/>
      </c>
      <c r="J4" s="4">
        <f>H4/H8</f>
        <v/>
      </c>
    </row>
    <row r="5">
      <c r="A5" t="inlineStr">
        <is>
          <t>Utilities</t>
        </is>
      </c>
      <c r="B5" s="5" t="n">
        <v>350</v>
      </c>
      <c r="C5" s="5" t="n">
        <v>340</v>
      </c>
      <c r="D5" s="5" t="n">
        <v>320</v>
      </c>
      <c r="E5" s="5" t="n">
        <v>300</v>
      </c>
      <c r="F5" s="5" t="n">
        <v>310</v>
      </c>
      <c r="G5" s="5" t="n">
        <v>330</v>
      </c>
      <c r="H5" s="5">
        <f>SUM(B5:G5)</f>
        <v/>
      </c>
      <c r="I5" s="2">
        <f>H5/6</f>
        <v/>
      </c>
      <c r="J5" s="4">
        <f>H5/H8</f>
        <v/>
      </c>
    </row>
    <row r="6">
      <c r="A6" t="inlineStr">
        <is>
          <t>Supplies</t>
        </is>
      </c>
      <c r="B6" s="5" t="n">
        <v>200</v>
      </c>
      <c r="C6" s="5" t="n">
        <v>180</v>
      </c>
      <c r="D6" s="5" t="n">
        <v>250</v>
      </c>
      <c r="E6" s="5" t="n">
        <v>220</v>
      </c>
      <c r="F6" s="5" t="n">
        <v>190</v>
      </c>
      <c r="G6" s="5" t="n">
        <v>210</v>
      </c>
      <c r="H6" s="5">
        <f>SUM(B6:G6)</f>
        <v/>
      </c>
      <c r="I6" s="2">
        <f>H6/6</f>
        <v/>
      </c>
      <c r="J6" s="4">
        <f>H6/H8</f>
        <v/>
      </c>
    </row>
    <row r="8">
      <c r="A8" s="3" t="inlineStr">
        <is>
          <t>GRAND TOTAL</t>
        </is>
      </c>
      <c r="H8" s="5">
        <f>SUM(H2:H6)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Projection Parameters</t>
        </is>
      </c>
    </row>
    <row r="2">
      <c r="A2" t="inlineStr">
        <is>
          <t>Current Revenue</t>
        </is>
      </c>
      <c r="B2" s="2">
        <f>Sales!H8</f>
        <v/>
      </c>
    </row>
    <row r="3">
      <c r="A3" t="inlineStr">
        <is>
          <t>Growth Rate</t>
        </is>
      </c>
      <c r="B3" s="4" t="n">
        <v>0.15</v>
      </c>
    </row>
    <row r="4">
      <c r="A4" t="inlineStr">
        <is>
          <t>Tax Rate</t>
        </is>
      </c>
      <c r="B4" s="4" t="n">
        <v>0.21</v>
      </c>
    </row>
    <row r="5">
      <c r="A5" t="inlineStr">
        <is>
          <t>Year 1 Revenue</t>
        </is>
      </c>
      <c r="B5" s="2">
        <f>B2*(1+B3)</f>
        <v/>
      </c>
    </row>
    <row r="6">
      <c r="A6" t="inlineStr">
        <is>
          <t>Year 2 Revenue</t>
        </is>
      </c>
      <c r="B6" s="2">
        <f>B5*(1+B3)</f>
        <v/>
      </c>
    </row>
    <row r="7">
      <c r="A7" t="inlineStr">
        <is>
          <t>Year 3 Revenue</t>
        </is>
      </c>
      <c r="B7" s="2">
        <f>B6*(1+B3)</f>
        <v/>
      </c>
    </row>
    <row r="8">
      <c r="A8" t="inlineStr">
        <is>
          <t>Total 3-Year Revenue</t>
        </is>
      </c>
      <c r="B8" s="2">
        <f>SUM(B5:B7)</f>
        <v/>
      </c>
    </row>
    <row r="9">
      <c r="A9" t="inlineStr">
        <is>
          <t>Estimated Tax (Year 3)</t>
        </is>
      </c>
      <c r="B9" s="2">
        <f>B7*B4</f>
        <v/>
      </c>
    </row>
    <row r="10">
      <c r="A10" t="inlineStr">
        <is>
          <t>After-Tax Revenue (Year 3)</t>
        </is>
      </c>
      <c r="B10" s="2">
        <f>B7-B9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2026-04-07T06:59:58Z</dcterms:created>
  <dcterms:modified xmlns:dcterms="http://purl.org/dc/terms/" xmlns:xsi="http://www.w3.org/2001/XMLSchema-instance" xsi:type="dcterms:W3CDTF">2026-04-07T06:59:58Z</dcterms:modified>
</cp:coreProperties>
</file>